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表" sheetId="1" state="visible" r:id="rId1"/>
    <sheet xmlns:r="http://schemas.openxmlformats.org/officeDocument/2006/relationships" name="比率表" sheetId="2" state="visible" r:id="rId2"/>
    <sheet xmlns:r="http://schemas.openxmlformats.org/officeDocument/2006/relationships" name="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2026Q1</t>
        </is>
      </c>
    </row>
    <row r="3">
      <c r="A3" t="inlineStr">
        <is>
          <t>货币资金</t>
        </is>
      </c>
      <c r="B3" s="2" t="n">
        <v>1000000</v>
      </c>
      <c r="C3" s="2" t="n">
        <v>2000000</v>
      </c>
      <c r="D3" s="2" t="n">
        <v>3000000</v>
      </c>
      <c r="E3" s="2" t="n">
        <v>3500000</v>
      </c>
      <c r="H3">
        <f>'已删除的工作表'!A1</f>
        <v/>
      </c>
    </row>
    <row r="4">
      <c r="A4" t="inlineStr">
        <is>
          <t>应收账款</t>
        </is>
      </c>
      <c r="B4" s="2" t="n">
        <v>500000</v>
      </c>
      <c r="C4" s="2" t="n">
        <v>600000</v>
      </c>
      <c r="D4" s="2" t="n">
        <v>700000</v>
      </c>
      <c r="E4" s="2" t="n">
        <v>800000</v>
      </c>
      <c r="H4">
        <f>1/0</f>
        <v/>
      </c>
    </row>
    <row r="5">
      <c r="A5" t="inlineStr">
        <is>
          <t>存货</t>
        </is>
      </c>
      <c r="B5" s="2" t="n">
        <v>300000</v>
      </c>
      <c r="C5" s="2" t="n">
        <v>350000</v>
      </c>
      <c r="D5" s="2" t="n">
        <v>400000</v>
      </c>
      <c r="E5" s="2" t="n">
        <v>450000</v>
      </c>
    </row>
    <row r="6">
      <c r="A6" t="inlineStr">
        <is>
          <t>流动资产合计</t>
        </is>
      </c>
      <c r="B6" s="2">
        <f>SUM(B3:B5)</f>
        <v/>
      </c>
      <c r="C6" s="2">
        <f>SUM(C3:C5)</f>
        <v/>
      </c>
      <c r="D6" s="2">
        <f>SUM(D3:D5)</f>
        <v/>
      </c>
      <c r="E6" s="2">
        <f>SUM(E3:E5)</f>
        <v/>
      </c>
    </row>
    <row r="7">
      <c r="A7" t="inlineStr">
        <is>
          <t>固定资产</t>
        </is>
      </c>
      <c r="B7" s="2" t="n">
        <v>2000000</v>
      </c>
      <c r="C7" s="2" t="n">
        <v>2100000</v>
      </c>
      <c r="D7" s="2" t="n">
        <v>2200000</v>
      </c>
      <c r="E7" s="2" t="n">
        <v>2300000</v>
      </c>
    </row>
    <row r="8">
      <c r="A8" t="inlineStr">
        <is>
          <t>资产总计</t>
        </is>
      </c>
      <c r="B8" s="2">
        <f>B6+B7</f>
        <v/>
      </c>
      <c r="C8" s="2">
        <f>C6+C7</f>
        <v/>
      </c>
      <c r="D8" s="2">
        <f>D6+D7</f>
        <v/>
      </c>
      <c r="E8" s="2">
        <f>E6+E7</f>
        <v/>
      </c>
    </row>
    <row r="9">
      <c r="A9" t="inlineStr">
        <is>
          <t>短期借款</t>
        </is>
      </c>
      <c r="B9" s="2" t="n">
        <v>800000</v>
      </c>
      <c r="C9" s="2" t="n">
        <v>700000</v>
      </c>
      <c r="D9" s="2" t="n">
        <v>600000</v>
      </c>
      <c r="E9" s="2" t="n">
        <v>500000</v>
      </c>
    </row>
    <row r="10">
      <c r="A10" t="inlineStr">
        <is>
          <t>应付账款</t>
        </is>
      </c>
      <c r="B10" s="2" t="n">
        <v>400000</v>
      </c>
      <c r="C10" s="2" t="n">
        <v>450000</v>
      </c>
      <c r="D10" s="2" t="n">
        <v>500000</v>
      </c>
      <c r="E10" s="2" t="n">
        <v>550000</v>
      </c>
    </row>
    <row r="11">
      <c r="A11" t="inlineStr">
        <is>
          <t>负债合计</t>
        </is>
      </c>
      <c r="B11" s="2">
        <f>B9+B10</f>
        <v/>
      </c>
      <c r="C11" s="2">
        <f>C9+C10</f>
        <v/>
      </c>
      <c r="D11" s="2">
        <f>D9+D10</f>
        <v/>
      </c>
      <c r="E11" s="2">
        <f>E9+E10</f>
        <v/>
      </c>
    </row>
    <row r="12">
      <c r="A12" t="inlineStr">
        <is>
          <t>实收资本</t>
        </is>
      </c>
      <c r="B12" s="2" t="n">
        <v>2000000</v>
      </c>
      <c r="C12" s="2" t="n">
        <v>2000000</v>
      </c>
      <c r="D12" s="2" t="n">
        <v>2000000</v>
      </c>
      <c r="E12" s="2" t="n">
        <v>2000000</v>
      </c>
    </row>
    <row r="13">
      <c r="A13" t="inlineStr">
        <is>
          <t>未分配利润</t>
        </is>
      </c>
      <c r="B13" s="2" t="n">
        <v>600000</v>
      </c>
      <c r="C13" s="2" t="n">
        <v>1900000</v>
      </c>
      <c r="D13" s="2" t="n">
        <v>3100000</v>
      </c>
      <c r="E13" s="2" t="n">
        <v>4000000</v>
      </c>
    </row>
    <row r="14">
      <c r="A14" t="inlineStr">
        <is>
          <t>所有者权益合计</t>
        </is>
      </c>
      <c r="B14" s="2">
        <f>B12+B13</f>
        <v/>
      </c>
      <c r="C14" s="2">
        <f>C12+C13</f>
        <v/>
      </c>
      <c r="D14" s="2">
        <f>D12+D13</f>
        <v/>
      </c>
      <c r="E14" s="2">
        <f>E12+E13</f>
        <v/>
      </c>
    </row>
    <row r="15">
      <c r="A15" t="inlineStr">
        <is>
          <t>负债和所有者权益总计</t>
        </is>
      </c>
      <c r="B15" s="2">
        <f>B11+B14</f>
        <v/>
      </c>
      <c r="C15" s="2">
        <f>C11+C14</f>
        <v/>
      </c>
      <c r="D15" s="2">
        <f>D11+D14+100000</f>
        <v/>
      </c>
      <c r="E15" s="2">
        <f>E11+E14</f>
        <v/>
      </c>
    </row>
    <row r="17">
      <c r="A17" t="inlineStr">
        <is>
          <t>营业收入</t>
        </is>
      </c>
      <c r="B17" s="2" t="n">
        <v>90000</v>
      </c>
      <c r="C17" s="2" t="n">
        <v>120000</v>
      </c>
      <c r="D17" s="2" t="n">
        <v>6000000</v>
      </c>
      <c r="E17" s="2" t="n">
        <v>1500000</v>
      </c>
    </row>
    <row r="18">
      <c r="A18" t="inlineStr">
        <is>
          <t>营业成本</t>
        </is>
      </c>
      <c r="B18" s="2" t="n">
        <v>60000</v>
      </c>
      <c r="C18" s="2" t="n">
        <v>80000</v>
      </c>
      <c r="D18" s="2" t="n">
        <v>4000000</v>
      </c>
      <c r="E18" s="2" t="n">
        <v>1000000</v>
      </c>
    </row>
    <row r="19">
      <c r="A19" t="inlineStr">
        <is>
          <t>净利润</t>
        </is>
      </c>
      <c r="B19" s="2">
        <f>B17-B18-20000</f>
        <v/>
      </c>
      <c r="C19" s="2">
        <f>C17-C18-20000</f>
        <v/>
      </c>
      <c r="D19" s="2">
        <f>D17-D18-20000</f>
        <v/>
      </c>
      <c r="E19" s="2">
        <f>E17-E18-20000</f>
        <v/>
      </c>
    </row>
    <row r="20">
      <c r="A20" t="inlineStr">
        <is>
          <t>分配股利、利润或偿付利息所支付的现金</t>
        </is>
      </c>
      <c r="B20" s="2" t="n">
        <v>0</v>
      </c>
      <c r="C20" s="2" t="n">
        <v>30000</v>
      </c>
      <c r="D20" s="2" t="n">
        <v>0</v>
      </c>
      <c r="E20" s="2" t="n">
        <v>0</v>
      </c>
    </row>
    <row r="23">
      <c r="A23" t="inlineStr">
        <is>
          <t>经营活动产生的现金流量净额</t>
        </is>
      </c>
      <c r="B23" s="2" t="n">
        <v>50000</v>
      </c>
      <c r="C23" s="2" t="n">
        <v>60000</v>
      </c>
      <c r="D23" s="2" t="n">
        <v>700000</v>
      </c>
      <c r="E23" s="2" t="n">
        <v>350000</v>
      </c>
    </row>
    <row r="24">
      <c r="A24" t="inlineStr">
        <is>
          <t>投资活动产生的现金流量净额</t>
        </is>
      </c>
      <c r="B24" s="2" t="n">
        <v>-20000</v>
      </c>
      <c r="C24" s="2" t="n">
        <v>-30000</v>
      </c>
      <c r="D24" s="2" t="n">
        <v>-400000</v>
      </c>
      <c r="E24" s="2" t="n">
        <v>-200000</v>
      </c>
    </row>
    <row r="25">
      <c r="A25" t="inlineStr">
        <is>
          <t>筹资活动产生的现金流量净额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t="inlineStr">
        <is>
          <t>现金及现金等价物净增加额</t>
        </is>
      </c>
      <c r="B26" s="2">
        <f>B23+B24+B25</f>
        <v/>
      </c>
      <c r="C26" s="2">
        <f>C23+C24+C25</f>
        <v/>
      </c>
      <c r="D26" s="2" t="n">
        <v>200000</v>
      </c>
      <c r="E26" s="2">
        <f>E23+E24+E25</f>
        <v/>
      </c>
    </row>
    <row r="27">
      <c r="A27" t="inlineStr">
        <is>
          <t>期初现金及现金等价物余额</t>
        </is>
      </c>
      <c r="B27" s="2" t="n">
        <v>900000</v>
      </c>
      <c r="C27" s="2">
        <f>B28</f>
        <v/>
      </c>
      <c r="D27" s="2">
        <f>C28</f>
        <v/>
      </c>
      <c r="E27" s="2">
        <f>D28</f>
        <v/>
      </c>
    </row>
    <row r="28">
      <c r="A28" t="inlineStr">
        <is>
          <t>期末现金及现金等价物余额</t>
        </is>
      </c>
      <c r="B28" s="2">
        <f>B27+B26</f>
        <v/>
      </c>
      <c r="C28" s="2">
        <f>C27+C26</f>
        <v/>
      </c>
      <c r="D28" s="2">
        <f>D27+D26</f>
        <v/>
      </c>
      <c r="E28" s="2">
        <f>E27+E26</f>
        <v/>
      </c>
    </row>
    <row r="31">
      <c r="A31" t="inlineStr">
        <is>
          <t>测试公式一致性</t>
        </is>
      </c>
      <c r="B31">
        <f>SUM(B3:B5)</f>
        <v/>
      </c>
      <c r="C31">
        <f>SUM(C3:C5)</f>
        <v/>
      </c>
      <c r="D31">
        <f>SUM(D3:D5)</f>
        <v/>
      </c>
      <c r="E31">
        <f>SUM(E4:E5)</f>
        <v/>
      </c>
    </row>
    <row r="32">
      <c r="A32" t="inlineStr">
        <is>
          <t>测试硬编码</t>
        </is>
      </c>
      <c r="B32">
        <f>B8*0.5</f>
        <v/>
      </c>
      <c r="C32">
        <f>C8*0.5</f>
        <v/>
      </c>
      <c r="D32">
        <f>D8*0.5</f>
        <v/>
      </c>
      <c r="E32" t="n">
        <v>1234567</v>
      </c>
    </row>
    <row r="34">
      <c r="A34" t="inlineStr">
        <is>
          <t>测试数据清洗</t>
        </is>
      </c>
      <c r="B34" t="inlineStr">
        <is>
          <t>1234.5</t>
        </is>
      </c>
      <c r="C3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2026Q1</t>
        </is>
      </c>
    </row>
    <row r="2">
      <c r="A2" t="inlineStr">
        <is>
          <t>应收账款周转天数</t>
        </is>
      </c>
      <c r="B2">
        <f>365*'三表'!B4/'三表'!B17</f>
        <v/>
      </c>
      <c r="C2">
        <f>365*'三表'!C4/'三表'!C17</f>
        <v/>
      </c>
      <c r="D2">
        <f>365*'三表'!D4/'三表'!D17</f>
        <v/>
      </c>
      <c r="E2">
        <f>365*'三表'!E4/'三表'!E17</f>
        <v/>
      </c>
    </row>
    <row r="3">
      <c r="A3" t="inlineStr">
        <is>
          <t>应付账款周转天数</t>
        </is>
      </c>
      <c r="B3">
        <f>365*'三表'!B10/'三表'!B18</f>
        <v/>
      </c>
      <c r="C3">
        <f>365*'三表'!C10/'三表'!C18</f>
        <v/>
      </c>
      <c r="D3">
        <f>365*'三表'!D10/'三表'!D18</f>
        <v/>
      </c>
      <c r="E3">
        <f>365*'三表'!E10/'三表'!E18</f>
        <v/>
      </c>
    </row>
    <row r="4">
      <c r="A4" t="inlineStr">
        <is>
          <t>净利率</t>
        </is>
      </c>
      <c r="B4">
        <f>'三表'!B19/'三表'!B17</f>
        <v/>
      </c>
      <c r="C4">
        <f>'三表'!C19/'三表'!C17</f>
        <v/>
      </c>
      <c r="D4">
        <f>'三表'!D19/'三表'!D17</f>
        <v/>
      </c>
      <c r="E4">
        <f>'三表'!E19/'三表'!E17</f>
        <v/>
      </c>
    </row>
    <row r="5">
      <c r="A5" t="inlineStr">
        <is>
          <t>有息负债合计</t>
        </is>
      </c>
      <c r="B5" s="3">
        <f>'三表'!B9</f>
        <v/>
      </c>
      <c r="C5" s="3">
        <f>'三表'!C9</f>
        <v/>
      </c>
      <c r="D5" s="3">
        <f>'三表'!D9</f>
        <v/>
      </c>
      <c r="E5" s="3">
        <f>'三表'!E9</f>
        <v/>
      </c>
    </row>
    <row r="6">
      <c r="A6" t="inlineStr">
        <is>
          <t>现金转换周期</t>
        </is>
      </c>
      <c r="B6" s="3">
        <f>B2+30-B3</f>
        <v/>
      </c>
      <c r="C6" s="3">
        <f>C2+30-C3</f>
        <v/>
      </c>
      <c r="D6" s="3">
        <f>D2+30-D3</f>
        <v/>
      </c>
      <c r="E6" s="3">
        <f>E2+30-E3</f>
        <v/>
      </c>
    </row>
    <row r="7">
      <c r="A7" t="inlineStr">
        <is>
          <t>流动比率</t>
        </is>
      </c>
      <c r="B7">
        <f>'三表'!B6/0</f>
        <v/>
      </c>
      <c r="C7">
        <f>'三表'!C6/'三表'!C9</f>
        <v/>
      </c>
      <c r="D7">
        <f>'三表'!D6/'三表'!D9</f>
        <v/>
      </c>
      <c r="E7">
        <f>'三表'!E6/'三表'!E9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营业收入</t>
        </is>
      </c>
      <c r="B2" t="inlineStr">
        <is>
          <t>1234.5</t>
        </is>
      </c>
    </row>
    <row r="3">
      <c r="A3" t="inlineStr">
        <is>
          <t>营业成本</t>
        </is>
      </c>
      <c r="B3" t="inlineStr">
        <is>
          <t>-</t>
        </is>
      </c>
    </row>
    <row r="4">
      <c r="A4" t="inlineStr">
        <is>
          <t>销售费用</t>
        </is>
      </c>
    </row>
    <row r="5">
      <c r="A5" t="inlineStr">
        <is>
          <t>管理费用</t>
        </is>
      </c>
      <c r="B5" t="n">
        <v>100</v>
      </c>
    </row>
    <row r="6">
      <c r="A6" t="inlineStr">
        <is>
          <t>管理费用</t>
        </is>
      </c>
      <c r="B6" t="n">
        <v>100</v>
      </c>
    </row>
    <row r="7">
      <c r="A7" t="inlineStr">
        <is>
          <t>财务费用</t>
        </is>
      </c>
      <c r="B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2026-10-17T10:17:43Z</dcterms:created>
  <dcterms:modified xmlns:dcterms="http://purl.org/dc/terms/" xmlns:xsi="http://www.w3.org/2001/XMLSchema-instance" xsi:type="dcterms:W3CDTF">2026-10-17T10:17:43Z</dcterms:modified>
</cp:coreProperties>
</file>